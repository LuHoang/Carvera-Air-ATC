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onghoang/Documents/Project/Carvera Air ATC/"/>
    </mc:Choice>
  </mc:AlternateContent>
  <xr:revisionPtr revIDLastSave="0" documentId="8_{E829F27B-4E63-9E4D-9A88-691337C6F50B}" xr6:coauthVersionLast="47" xr6:coauthVersionMax="47" xr10:uidLastSave="{00000000-0000-0000-0000-000000000000}"/>
  <bookViews>
    <workbookView xWindow="2200" yWindow="29480" windowWidth="34560" windowHeight="20540" activeTab="1" xr2:uid="{E4CA21F5-D4A9-464D-9F3E-BA0012FF7D2B}"/>
  </bookViews>
  <sheets>
    <sheet name="PartMaster" sheetId="3" r:id="rId1"/>
    <sheet name="BOM" sheetId="1" r:id="rId2"/>
    <sheet name="Revision History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11" i="1"/>
  <c r="C8" i="1"/>
  <c r="C10" i="1"/>
  <c r="C4" i="1"/>
  <c r="C5" i="1"/>
  <c r="C6" i="1"/>
  <c r="C7" i="1"/>
  <c r="C9" i="1"/>
  <c r="C3" i="1"/>
</calcChain>
</file>

<file path=xl/sharedStrings.xml><?xml version="1.0" encoding="utf-8"?>
<sst xmlns="http://schemas.openxmlformats.org/spreadsheetml/2006/main" count="56" uniqueCount="39">
  <si>
    <t>Part Number</t>
  </si>
  <si>
    <t>Part Name</t>
  </si>
  <si>
    <t>Rev Used</t>
  </si>
  <si>
    <t>Status</t>
  </si>
  <si>
    <t xml:space="preserve">HW-2 </t>
  </si>
  <si>
    <t>HW-1</t>
  </si>
  <si>
    <t>EL-1</t>
  </si>
  <si>
    <t xml:space="preserve">HW-3 </t>
  </si>
  <si>
    <t>HW-4</t>
  </si>
  <si>
    <t>HW-5</t>
  </si>
  <si>
    <t xml:space="preserve">Limit Switch </t>
  </si>
  <si>
    <t>Bracket High Torque Gear</t>
  </si>
  <si>
    <t>NPN Laser Photoelectric Diffusion Sensor</t>
  </si>
  <si>
    <t>85T HTD5 Belt 425mm Length</t>
  </si>
  <si>
    <t>32T HTD5 Output Pulley 15mm Width</t>
  </si>
  <si>
    <t>16T HTD5 Pinion Pulley 15mm Width</t>
  </si>
  <si>
    <t>EL-2</t>
  </si>
  <si>
    <t>Part Number Description</t>
  </si>
  <si>
    <t>Change Date</t>
  </si>
  <si>
    <t>Lastest Rev</t>
  </si>
  <si>
    <t>Description</t>
  </si>
  <si>
    <t>Date</t>
  </si>
  <si>
    <t>New Part Rev</t>
  </si>
  <si>
    <t>Reason for Change</t>
  </si>
  <si>
    <t>Version: v1.0.0</t>
  </si>
  <si>
    <t>Important</t>
  </si>
  <si>
    <t>EL-3</t>
  </si>
  <si>
    <t>Link</t>
  </si>
  <si>
    <t>Ideal Diode</t>
  </si>
  <si>
    <t>https://www.amazon.com/dp/B0DLN1XD8S?ref=ppx_yo2ov_dt_b_fed_asin_title</t>
  </si>
  <si>
    <t>HW-6</t>
  </si>
  <si>
    <t>ATC Magazine</t>
  </si>
  <si>
    <t>STEP Files are in the folder, so it's up to you to decide. My own design is different, because the part I'm using difficult to find elsewhere (local to me).</t>
  </si>
  <si>
    <t>can 3D print</t>
  </si>
  <si>
    <t>Version</t>
  </si>
  <si>
    <t>amazon.com/dp/B0CSX86X15?ref=ppx_yo2ov_dt_b_fed_asin_title</t>
  </si>
  <si>
    <t>haven't tested</t>
  </si>
  <si>
    <t>20:1 Stepper Motor</t>
  </si>
  <si>
    <t>HW-7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</si>
</sst>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4" fontId="3" fillId="0" borderId="0" xfId="0" applyNumberFormat="1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D419C-F7DE-B647-8B79-0F72155F3895}">
  <dimension ref="A1:D9"/>
  <sheetViews>
    <sheetView zoomScale="172" workbookViewId="0">
      <selection activeCell="A26" sqref="A26"/>
    </sheetView>
  </sheetViews>
  <sheetFormatPr baseColWidth="10" defaultRowHeight="16" x14ac:dyDescent="0.2"/>
  <cols>
    <col min="1" max="1" width="22" bestFit="1" customWidth="1"/>
    <col min="3" max="3" width="35.6640625" bestFit="1" customWidth="1"/>
  </cols>
  <sheetData>
    <row r="1" spans="1:4" x14ac:dyDescent="0.2">
      <c r="A1" s="6" t="s">
        <v>17</v>
      </c>
      <c r="B1" s="6" t="s">
        <v>19</v>
      </c>
      <c r="C1" s="6" t="s">
        <v>20</v>
      </c>
      <c r="D1" s="6" t="s">
        <v>18</v>
      </c>
    </row>
    <row r="2" spans="1:4" x14ac:dyDescent="0.2">
      <c r="A2" s="1" t="s">
        <v>5</v>
      </c>
      <c r="B2" s="1">
        <v>1</v>
      </c>
      <c r="C2" s="1" t="s">
        <v>11</v>
      </c>
    </row>
    <row r="3" spans="1:4" x14ac:dyDescent="0.2">
      <c r="A3" s="1" t="s">
        <v>4</v>
      </c>
      <c r="B3" s="1">
        <v>1</v>
      </c>
      <c r="C3" s="1" t="s">
        <v>15</v>
      </c>
    </row>
    <row r="4" spans="1:4" x14ac:dyDescent="0.2">
      <c r="A4" s="1" t="s">
        <v>7</v>
      </c>
      <c r="B4" s="1">
        <v>1</v>
      </c>
      <c r="C4" s="1" t="s">
        <v>14</v>
      </c>
    </row>
    <row r="5" spans="1:4" x14ac:dyDescent="0.2">
      <c r="A5" s="1" t="s">
        <v>8</v>
      </c>
      <c r="B5" s="1">
        <v>1</v>
      </c>
      <c r="C5" s="1" t="s">
        <v>13</v>
      </c>
    </row>
    <row r="6" spans="1:4" x14ac:dyDescent="0.2">
      <c r="A6" s="1" t="s">
        <v>9</v>
      </c>
      <c r="B6" s="1">
        <v>1</v>
      </c>
      <c r="C6" t="s">
        <v>1</v>
      </c>
    </row>
    <row r="7" spans="1:4" x14ac:dyDescent="0.2">
      <c r="A7" s="1" t="s">
        <v>6</v>
      </c>
      <c r="B7" s="1">
        <v>1</v>
      </c>
      <c r="C7" t="s">
        <v>10</v>
      </c>
    </row>
    <row r="8" spans="1:4" x14ac:dyDescent="0.2">
      <c r="A8" s="1" t="s">
        <v>16</v>
      </c>
      <c r="B8" s="1">
        <v>1</v>
      </c>
      <c r="C8" t="s">
        <v>12</v>
      </c>
    </row>
    <row r="9" spans="1:4" x14ac:dyDescent="0.2">
      <c r="A9" s="1"/>
      <c r="B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4116-9858-1F4E-A307-792A3F4C7A11}">
  <dimension ref="A1:F20"/>
  <sheetViews>
    <sheetView tabSelected="1" zoomScale="150" workbookViewId="0">
      <selection activeCell="E17" sqref="E17"/>
    </sheetView>
  </sheetViews>
  <sheetFormatPr baseColWidth="10" defaultRowHeight="16" x14ac:dyDescent="0.2"/>
  <cols>
    <col min="1" max="2" width="14.83203125" customWidth="1"/>
    <col min="3" max="3" width="19.33203125" customWidth="1"/>
    <col min="4" max="4" width="41" customWidth="1"/>
    <col min="5" max="5" width="33.83203125" customWidth="1"/>
    <col min="6" max="6" width="12.6640625" customWidth="1"/>
  </cols>
  <sheetData>
    <row r="1" spans="1:6" x14ac:dyDescent="0.2">
      <c r="A1" t="s">
        <v>24</v>
      </c>
    </row>
    <row r="2" spans="1:6" s="6" customFormat="1" x14ac:dyDescent="0.2">
      <c r="A2" s="6" t="s">
        <v>0</v>
      </c>
      <c r="B2" s="6" t="s">
        <v>2</v>
      </c>
      <c r="C2" s="6" t="s">
        <v>3</v>
      </c>
      <c r="D2" s="6" t="s">
        <v>25</v>
      </c>
      <c r="E2" s="6" t="s">
        <v>20</v>
      </c>
      <c r="F2" s="6" t="s">
        <v>27</v>
      </c>
    </row>
    <row r="3" spans="1:6" x14ac:dyDescent="0.2">
      <c r="A3" s="1" t="s">
        <v>5</v>
      </c>
      <c r="B3" s="1">
        <v>1</v>
      </c>
      <c r="C3" t="str">
        <f>IFERROR(
  IF(B3=VLOOKUP(A3, PartMaster!A:B, 2, FALSE),
    "✅ Up to Date",
    "⚠️ OUTDATED"
  ),
  "❌ Part Not Found"
)</f>
        <v>✅ Up to Date</v>
      </c>
      <c r="E3" s="1" t="s">
        <v>11</v>
      </c>
    </row>
    <row r="4" spans="1:6" x14ac:dyDescent="0.2">
      <c r="A4" s="1" t="s">
        <v>4</v>
      </c>
      <c r="B4" s="1">
        <v>1</v>
      </c>
      <c r="C4" t="str">
        <f>IFERROR(
  IF(B4=VLOOKUP(A4, PartMaster!A:B, 2, FALSE),
    "✅ Up to Date",
    "⚠️ OUTDATED"
  ),
  "❌ Part Not Found"
)</f>
        <v>✅ Up to Date</v>
      </c>
      <c r="D4" t="s">
        <v>33</v>
      </c>
      <c r="E4" s="1" t="s">
        <v>15</v>
      </c>
    </row>
    <row r="5" spans="1:6" x14ac:dyDescent="0.2">
      <c r="A5" s="1" t="s">
        <v>7</v>
      </c>
      <c r="B5" s="2">
        <v>1</v>
      </c>
      <c r="C5" t="str">
        <f>IFERROR(
  IF(B5=VLOOKUP(A5, PartMaster!A:B, 2, FALSE),
    "✅ Up to Date",
    "⚠️ OUTDATED"
  ),
  "❌ Part Not Found"
)</f>
        <v>✅ Up to Date</v>
      </c>
      <c r="D5" t="s">
        <v>33</v>
      </c>
      <c r="E5" s="1" t="s">
        <v>14</v>
      </c>
    </row>
    <row r="6" spans="1:6" x14ac:dyDescent="0.2">
      <c r="A6" s="1" t="s">
        <v>8</v>
      </c>
      <c r="B6" s="1">
        <v>1</v>
      </c>
      <c r="C6" t="str">
        <f>IFERROR(
  IF(B6=VLOOKUP(A6, PartMaster!A:B, 2, FALSE),
    "✅ Up to Date",
    "⚠️ OUTDATED"
  ),
  "❌ Part Not Found"
)</f>
        <v>✅ Up to Date</v>
      </c>
      <c r="E6" s="1" t="s">
        <v>13</v>
      </c>
    </row>
    <row r="7" spans="1:6" x14ac:dyDescent="0.2">
      <c r="A7" s="1" t="s">
        <v>9</v>
      </c>
      <c r="B7" s="2">
        <v>1</v>
      </c>
      <c r="C7" t="str">
        <f>IFERROR(
  IF(B7=VLOOKUP(A7, PartMaster!A:B, 2, FALSE),
    "✅ Up to Date",
    "⚠️ OUTDATED"
  ),
  "❌ Part Not Found"
)</f>
        <v>✅ Up to Date</v>
      </c>
      <c r="E7" t="s">
        <v>1</v>
      </c>
    </row>
    <row r="8" spans="1:6" x14ac:dyDescent="0.2">
      <c r="A8" s="1" t="s">
        <v>6</v>
      </c>
      <c r="B8" s="1">
        <v>1</v>
      </c>
      <c r="C8" t="str">
        <f>IFERROR(
  IF(B8=VLOOKUP(A8, PartMaster!A:B, 2, FALSE),
    "✅ Up to Date",
    "⚠️ OUTDATED"
  ),
  "❌ Part Not Found"
)</f>
        <v>✅ Up to Date</v>
      </c>
      <c r="E8" t="s">
        <v>10</v>
      </c>
    </row>
    <row r="9" spans="1:6" x14ac:dyDescent="0.2">
      <c r="A9" s="1" t="s">
        <v>16</v>
      </c>
      <c r="B9" s="1">
        <v>1</v>
      </c>
      <c r="C9" t="str">
        <f>IFERROR(
  IF(B9=VLOOKUP(A9, PartMaster!A:B, 2, FALSE),
    "✅ Up to Date",
    "⚠️ OUTDATED"
  ),
  "❌ Part Not Found"
)</f>
        <v>✅ Up to Date</v>
      </c>
      <c r="D9" t="s">
        <v>36</v>
      </c>
      <c r="E9" t="s">
        <v>12</v>
      </c>
      <c r="F9" t="s">
        <v>35</v>
      </c>
    </row>
    <row r="10" spans="1:6" x14ac:dyDescent="0.2">
      <c r="A10" s="1" t="s">
        <v>26</v>
      </c>
      <c r="B10" s="1">
        <v>1</v>
      </c>
      <c r="C10" t="str">
        <f>IFERROR(
  IF(B10=VLOOKUP(A10, PartMaster!A:B, 2, FALSE),
    "✅ Up to Date",
    "⚠️ OUTDATED"
  ),
  "❌ Part Not Found"
)</f>
        <v>❌ Part Not Found</v>
      </c>
      <c r="E10" t="s">
        <v>28</v>
      </c>
      <c r="F10" t="s">
        <v>29</v>
      </c>
    </row>
    <row r="11" spans="1:6" x14ac:dyDescent="0.2">
      <c r="A11" s="1" t="s">
        <v>30</v>
      </c>
      <c r="B11" s="1">
        <v>1</v>
      </c>
      <c r="C11" t="str">
        <f>IFERROR(
  IF(B11=VLOOKUP(A11, PartMaster!A:B, 2, FALSE),
    "✅ Up to Date",
    "⚠️ OUTDATED"
  ),
  "❌ Part Not Found"
)</f>
        <v>❌ Part Not Found</v>
      </c>
      <c r="D11" t="s">
        <v>32</v>
      </c>
      <c r="E11" t="s">
        <v>31</v>
      </c>
    </row>
    <row r="12" spans="1:6" x14ac:dyDescent="0.2">
      <c r="A12" s="1" t="s">
        <v>38</v>
      </c>
      <c r="B12" s="1">
        <v>1</v>
      </c>
      <c r="C12" t="str">
        <f>IFERROR(
  IF(B12=VLOOKUP(A12, PartMaster!A:B, 2, FALSE),
    "✅ Up to Date",
    "⚠️ OUTDATED"
  ),
  "❌ Part Not Found"
)</f>
        <v>❌ Part Not Found</v>
      </c>
      <c r="E12" t="s">
        <v>37</v>
      </c>
    </row>
    <row r="13" spans="1:6" x14ac:dyDescent="0.2">
      <c r="B13" s="1"/>
    </row>
    <row r="14" spans="1:6" x14ac:dyDescent="0.2">
      <c r="B14" s="1"/>
    </row>
    <row r="15" spans="1:6" x14ac:dyDescent="0.2">
      <c r="B15" s="1"/>
    </row>
    <row r="16" spans="1:6" x14ac:dyDescent="0.2">
      <c r="B16" s="1"/>
    </row>
    <row r="18" spans="1:2" x14ac:dyDescent="0.2">
      <c r="A18" s="1"/>
      <c r="B18" s="1"/>
    </row>
    <row r="19" spans="1:2" x14ac:dyDescent="0.2">
      <c r="A19" s="1"/>
      <c r="B19" s="1"/>
    </row>
    <row r="20" spans="1:2" x14ac:dyDescent="0.2">
      <c r="A20" s="1"/>
      <c r="B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93D9E-C7B9-8945-AC27-B83DAE93738C}">
  <dimension ref="A1:E4"/>
  <sheetViews>
    <sheetView workbookViewId="0">
      <selection activeCell="D15" sqref="D15"/>
    </sheetView>
  </sheetViews>
  <sheetFormatPr baseColWidth="10" defaultRowHeight="16" x14ac:dyDescent="0.2"/>
  <cols>
    <col min="2" max="2" width="16.6640625" bestFit="1" customWidth="1"/>
    <col min="3" max="3" width="13.33203125" bestFit="1" customWidth="1"/>
    <col min="4" max="4" width="14.1640625" bestFit="1" customWidth="1"/>
    <col min="5" max="5" width="38.6640625" bestFit="1" customWidth="1"/>
  </cols>
  <sheetData>
    <row r="1" spans="1:5" x14ac:dyDescent="0.2">
      <c r="A1" s="3" t="s">
        <v>21</v>
      </c>
      <c r="B1" s="3" t="s">
        <v>34</v>
      </c>
      <c r="C1" s="3" t="s">
        <v>0</v>
      </c>
      <c r="D1" s="3" t="s">
        <v>22</v>
      </c>
      <c r="E1" s="3" t="s">
        <v>23</v>
      </c>
    </row>
    <row r="2" spans="1:5" x14ac:dyDescent="0.2">
      <c r="A2" s="4"/>
      <c r="B2" s="3"/>
      <c r="C2" s="5"/>
      <c r="D2" s="5"/>
      <c r="E2" s="5"/>
    </row>
    <row r="3" spans="1:5" x14ac:dyDescent="0.2">
      <c r="A3" s="4"/>
      <c r="B3" s="3"/>
      <c r="C3" s="5"/>
      <c r="D3" s="5"/>
      <c r="E3" s="5"/>
    </row>
    <row r="4" spans="1:5" x14ac:dyDescent="0.2">
      <c r="A4" s="4"/>
      <c r="B4" s="3"/>
      <c r="C4" s="5"/>
      <c r="D4" s="5"/>
      <c r="E4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PartMaster</vt:lpstr>
      <vt:lpstr>BOM</vt:lpstr>
      <vt:lpstr>Revision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luong hoang</dc:creator>
  <cp:lastModifiedBy>luong hoang</cp:lastModifiedBy>
  <dcterms:created xsi:type="dcterms:W3CDTF">2026-02-06T22:46:23Z</dcterms:created>
  <dcterms:modified xsi:type="dcterms:W3CDTF">2026-02-07T04:11:48Z</dcterms:modified>
</cp:coreProperties>
</file>