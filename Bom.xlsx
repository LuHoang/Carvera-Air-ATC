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luonghoang/Documents/Project/Carvera-Air-ATC/"/>
    </mc:Choice>
  </mc:AlternateContent>
  <xr:revisionPtr revIDLastSave="0" documentId="13_ncr:1_{41435573-8028-0E4A-AEE0-DE66010F9349}" xr6:coauthVersionLast="47" xr6:coauthVersionMax="47" xr10:uidLastSave="{00000000-0000-0000-0000-000000000000}"/>
  <bookViews>
    <workbookView xWindow="2200" yWindow="29480" windowWidth="34560" windowHeight="20540" activeTab="1" xr2:uid="{E4CA21F5-D4A9-464D-9F3E-BA0012FF7D2B}"/>
  </bookViews>
  <sheets>
    <sheet name="PartMaster" sheetId="3" r:id="rId1"/>
    <sheet name="BOM" sheetId="1" r:id="rId2"/>
    <sheet name="Revision History"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5" i="1"/>
  <c r="C6" i="1"/>
  <c r="C7" i="1"/>
  <c r="C8" i="1"/>
  <c r="C9" i="1"/>
  <c r="C10" i="1"/>
  <c r="C11" i="1"/>
  <c r="C12" i="1"/>
  <c r="C13" i="1"/>
  <c r="C14" i="1"/>
  <c r="C15" i="1"/>
  <c r="C16" i="1"/>
  <c r="C3" i="1"/>
</calcChain>
</file>

<file path=xl/sharedStrings.xml><?xml version="1.0" encoding="utf-8"?>
<sst xmlns="http://schemas.openxmlformats.org/spreadsheetml/2006/main" count="88" uniqueCount="55">
  <si>
    <t>Part Number</t>
  </si>
  <si>
    <t>Rev Used</t>
  </si>
  <si>
    <t>Status</t>
  </si>
  <si>
    <t xml:space="preserve">HW-2 </t>
  </si>
  <si>
    <t>HW-1</t>
  </si>
  <si>
    <t>EL-1</t>
  </si>
  <si>
    <t xml:space="preserve">HW-3 </t>
  </si>
  <si>
    <t>HW-4</t>
  </si>
  <si>
    <t xml:space="preserve">Limit Switch </t>
  </si>
  <si>
    <t>32T HTD5 Output Pulley 15mm Width</t>
  </si>
  <si>
    <t>16T HTD5 Pinion Pulley 15mm Width</t>
  </si>
  <si>
    <t>EL-2</t>
  </si>
  <si>
    <t>Part Number Description</t>
  </si>
  <si>
    <t>Change Date</t>
  </si>
  <si>
    <t>Lastest Rev</t>
  </si>
  <si>
    <t>Description</t>
  </si>
  <si>
    <t>Date</t>
  </si>
  <si>
    <t>New Part Rev</t>
  </si>
  <si>
    <t>Reason for Change</t>
  </si>
  <si>
    <t>Version: v1.0.0</t>
  </si>
  <si>
    <t>Important</t>
  </si>
  <si>
    <t>EL-3</t>
  </si>
  <si>
    <t>Link</t>
  </si>
  <si>
    <t>Ideal Diode</t>
  </si>
  <si>
    <t>https://www.amazon.com/dp/B0DLN1XD8S?ref=ppx_yo2ov_dt_b_fed_asin_title</t>
  </si>
  <si>
    <t>can 3D print</t>
  </si>
  <si>
    <t>Version</t>
  </si>
  <si>
    <t>amazon.com/dp/B0CSX86X15?ref=ppx_yo2ov_dt_b_fed_asin_title</t>
  </si>
  <si>
    <t>HW-7</t>
  </si>
  <si>
    <t>https://www.amazon.com/HiLetgo-KW12-3-Roller-Switch-Normally/dp/B07X142VGC/ref=sr_1_3?crid=172A3P41WI48G&amp;dib=eyJ2IjoiMSJ9.SO49a-XNmdH1AGulMpypJWeNKjeeD0wIvVt8lvOcy2owb4pNt_l-CO2Yg_7qfz0QhHS3sAKCQN7Jd1CZCGsRaKrCKf13hkrFzomRuN8LqVOeD5T90BUk-5vHAhjylRzFMlJPveCLddJu3YARKx65G_90vRdv8v0G_CzMKoCj_CoxNB7g7xqZUni9KwxUjQPIqkbGR7PPkdbVjDnmE65NonvagHpU91WH230ehbeL8Yc.gHgwo1bl7tZbjfhDhHUYUAN2QaAMCUANZg-pIDPyGrE&amp;dib_tag=se&amp;keywords=limit+switch&amp;qid=1770448306&amp;sprefix=limit+switch%2Caps%2C262&amp;sr=8-3</t>
  </si>
  <si>
    <t>HW-8</t>
  </si>
  <si>
    <t>Tool Pod (22mm flange)</t>
  </si>
  <si>
    <t xml:space="preserve">you can get it from Pew shop, or search around" Tool Change Pod PCB" </t>
  </si>
  <si>
    <t>can 3D print, PC recommended</t>
  </si>
  <si>
    <t>HW-9</t>
  </si>
  <si>
    <t>Sensor Bracket - for the tool sensor</t>
  </si>
  <si>
    <t>Tool Sensor NPN Laser Photoelectric Diffusion Sensor</t>
  </si>
  <si>
    <t>Bracket High Torque Motor</t>
  </si>
  <si>
    <t>HW-10</t>
  </si>
  <si>
    <t>Top Plate - place to mount motor</t>
  </si>
  <si>
    <t xml:space="preserve">haven't fully test </t>
  </si>
  <si>
    <t>HW-11</t>
  </si>
  <si>
    <t>ATC Magazine 6 Slots 22mm flange</t>
  </si>
  <si>
    <t>ATC Magazine 6 Slots 22mm flange top cover</t>
  </si>
  <si>
    <t>https://www.amazon.com/dp/B0BPH6F74F?ref=ppx_yo2ov_dt_b_fed_asin_title&amp;th=1</t>
  </si>
  <si>
    <t>HW-12</t>
  </si>
  <si>
    <t>20:1 Gear Ration from Stepper online</t>
  </si>
  <si>
    <t>Nema17 Shaft Length 6.5-10.5mm</t>
  </si>
  <si>
    <t>don't have link for this, I just cut my old motor shaft</t>
  </si>
  <si>
    <t>STEP files are in the folder, so it's up to you to decide. This uses the 22mm flange Pod. My own design is different because the part I'm using is difficult to find elsewhere (it's local to me).</t>
  </si>
  <si>
    <t>I source mine from an old 3D printer, so I haven't tested the one from the provided link.</t>
  </si>
  <si>
    <t>3D print or CNC, haven't test fitment of Rev 2</t>
  </si>
  <si>
    <t>85T HTD5 Belt 425mm Length 15mm Width</t>
  </si>
  <si>
    <t>I used 9mm currently, but I recommend the 15mm</t>
  </si>
  <si>
    <r>
      <t>Important:</t>
    </r>
    <r>
      <rPr>
        <sz val="12"/>
        <color theme="1"/>
        <rFont val="Arial"/>
        <family val="2"/>
      </rPr>
      <t xml:space="preserve"> You will need to buy a short-length NEMA motor. Otherwise, buy the motor and gear combo, but those usually have soldered-in wires, so you will need to solder.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</si>
</sst>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theme="1"/>
      <name val="Arial"/>
      <family val="2"/>
    </font>
    <font>
      <b/>
      <sz val="12"/>
      <color theme="1"/>
      <name val="Arial"/>
      <family val="2"/>
    </font>
    <font>
      <sz val="12"/>
      <color rgb="FF1F1F1F"/>
      <name val="Arial"/>
      <family val="2"/>
    </font>
    <font>
      <b/>
      <sz val="12"/>
      <color rgb="FF1F1F1F"/>
      <name val="Arial"/>
      <family val="2"/>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4" fillId="0" borderId="0" xfId="0" applyFont="1"/>
    <xf numFmtId="14" fontId="3" fillId="0" borderId="0" xfId="0" applyNumberFormat="1" applyFont="1"/>
    <xf numFmtId="0" fontId="3"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D419C-F7DE-B647-8B79-0F72155F3895}">
  <dimension ref="A1:D15"/>
  <sheetViews>
    <sheetView workbookViewId="0">
      <selection activeCell="C15" sqref="C15"/>
    </sheetView>
  </sheetViews>
  <sheetFormatPr baseColWidth="10" defaultRowHeight="16" x14ac:dyDescent="0.2"/>
  <cols>
    <col min="1" max="1" width="22" style="1" bestFit="1" customWidth="1"/>
    <col min="2" max="2" width="10.83203125" style="1"/>
    <col min="3" max="3" width="35.6640625" style="1" bestFit="1" customWidth="1"/>
    <col min="4" max="16384" width="10.83203125" style="1"/>
  </cols>
  <sheetData>
    <row r="1" spans="1:4" x14ac:dyDescent="0.2">
      <c r="A1" s="2" t="s">
        <v>12</v>
      </c>
      <c r="B1" s="2" t="s">
        <v>14</v>
      </c>
      <c r="C1" s="2" t="s">
        <v>15</v>
      </c>
      <c r="D1" s="2" t="s">
        <v>13</v>
      </c>
    </row>
    <row r="2" spans="1:4" x14ac:dyDescent="0.2">
      <c r="A2" s="1" t="s">
        <v>4</v>
      </c>
      <c r="B2" s="1">
        <v>5</v>
      </c>
      <c r="C2" s="1" t="s">
        <v>37</v>
      </c>
    </row>
    <row r="3" spans="1:4" x14ac:dyDescent="0.2">
      <c r="A3" s="1" t="s">
        <v>3</v>
      </c>
      <c r="B3" s="1">
        <v>1</v>
      </c>
      <c r="C3" s="1" t="s">
        <v>10</v>
      </c>
    </row>
    <row r="4" spans="1:4" x14ac:dyDescent="0.2">
      <c r="A4" s="1" t="s">
        <v>6</v>
      </c>
      <c r="B4" s="1">
        <v>1</v>
      </c>
      <c r="C4" s="1" t="s">
        <v>9</v>
      </c>
    </row>
    <row r="5" spans="1:4" x14ac:dyDescent="0.2">
      <c r="A5" s="1" t="s">
        <v>7</v>
      </c>
      <c r="B5" s="1">
        <v>1</v>
      </c>
      <c r="C5" s="1" t="s">
        <v>52</v>
      </c>
    </row>
    <row r="6" spans="1:4" x14ac:dyDescent="0.2">
      <c r="A6" s="1" t="s">
        <v>38</v>
      </c>
      <c r="B6" s="1">
        <v>2</v>
      </c>
      <c r="C6" s="1" t="s">
        <v>39</v>
      </c>
    </row>
    <row r="7" spans="1:4" x14ac:dyDescent="0.2">
      <c r="A7" s="1" t="s">
        <v>5</v>
      </c>
      <c r="B7" s="1">
        <v>1</v>
      </c>
      <c r="C7" s="1" t="s">
        <v>8</v>
      </c>
    </row>
    <row r="8" spans="1:4" x14ac:dyDescent="0.2">
      <c r="A8" s="1" t="s">
        <v>11</v>
      </c>
      <c r="B8" s="1">
        <v>1</v>
      </c>
      <c r="C8" s="1" t="s">
        <v>36</v>
      </c>
    </row>
    <row r="9" spans="1:4" x14ac:dyDescent="0.2">
      <c r="A9" s="1" t="s">
        <v>21</v>
      </c>
      <c r="B9" s="1">
        <v>1</v>
      </c>
      <c r="C9" s="1" t="s">
        <v>23</v>
      </c>
    </row>
    <row r="10" spans="1:4" x14ac:dyDescent="0.2">
      <c r="A10" s="1" t="s">
        <v>28</v>
      </c>
      <c r="B10" s="1">
        <v>1</v>
      </c>
      <c r="C10" s="1" t="s">
        <v>46</v>
      </c>
    </row>
    <row r="11" spans="1:4" x14ac:dyDescent="0.2">
      <c r="A11" s="1" t="s">
        <v>45</v>
      </c>
      <c r="B11" s="1">
        <v>1</v>
      </c>
      <c r="C11" s="1" t="s">
        <v>47</v>
      </c>
    </row>
    <row r="12" spans="1:4" x14ac:dyDescent="0.2">
      <c r="A12" s="1" t="s">
        <v>30</v>
      </c>
      <c r="B12" s="1">
        <v>1</v>
      </c>
      <c r="C12" s="1" t="s">
        <v>31</v>
      </c>
    </row>
    <row r="13" spans="1:4" x14ac:dyDescent="0.2">
      <c r="A13" s="1" t="s">
        <v>34</v>
      </c>
      <c r="B13" s="1">
        <v>5</v>
      </c>
      <c r="C13" s="1" t="s">
        <v>35</v>
      </c>
    </row>
    <row r="14" spans="1:4" x14ac:dyDescent="0.2">
      <c r="A14" s="1" t="s">
        <v>38</v>
      </c>
      <c r="B14" s="1">
        <v>1</v>
      </c>
      <c r="C14" s="1" t="s">
        <v>42</v>
      </c>
    </row>
    <row r="15" spans="1:4" x14ac:dyDescent="0.2">
      <c r="A15" s="1" t="s">
        <v>41</v>
      </c>
      <c r="B15" s="1">
        <v>1</v>
      </c>
      <c r="C15" s="1"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84116-9858-1F4E-A307-792A3F4C7A11}">
  <dimension ref="A1:F20"/>
  <sheetViews>
    <sheetView tabSelected="1" zoomScale="164" workbookViewId="0">
      <selection activeCell="B14" sqref="B14"/>
    </sheetView>
  </sheetViews>
  <sheetFormatPr baseColWidth="10" defaultRowHeight="16" x14ac:dyDescent="0.2"/>
  <cols>
    <col min="1" max="2" width="14.83203125" customWidth="1"/>
    <col min="3" max="3" width="19.33203125" customWidth="1"/>
    <col min="4" max="4" width="58.33203125" customWidth="1"/>
    <col min="5" max="5" width="33.83203125" customWidth="1"/>
    <col min="6" max="6" width="79.6640625" customWidth="1"/>
  </cols>
  <sheetData>
    <row r="1" spans="1:6" x14ac:dyDescent="0.2">
      <c r="A1" s="1" t="s">
        <v>19</v>
      </c>
      <c r="B1" s="1"/>
      <c r="C1" s="1"/>
      <c r="D1" s="1"/>
      <c r="E1" s="1"/>
      <c r="F1" s="1"/>
    </row>
    <row r="2" spans="1:6" s="6" customFormat="1" x14ac:dyDescent="0.2">
      <c r="A2" s="2" t="s">
        <v>0</v>
      </c>
      <c r="B2" s="2" t="s">
        <v>1</v>
      </c>
      <c r="C2" s="2" t="s">
        <v>2</v>
      </c>
      <c r="D2" s="2" t="s">
        <v>20</v>
      </c>
      <c r="E2" s="2" t="s">
        <v>15</v>
      </c>
      <c r="F2" s="2" t="s">
        <v>22</v>
      </c>
    </row>
    <row r="3" spans="1:6" x14ac:dyDescent="0.2">
      <c r="A3" s="1" t="s">
        <v>4</v>
      </c>
      <c r="B3" s="1">
        <v>5</v>
      </c>
      <c r="C3" s="1" t="str">
        <f>IFERROR(
  IF(B3=VLOOKUP(A3, PartMaster!A:B, 2, FALSE),
    "✅ Up to Date",
    "⚠️ OUTDATED"
  ),
  "❌ Part Not Found"
)</f>
        <v>✅ Up to Date</v>
      </c>
      <c r="D3" s="1"/>
      <c r="E3" s="1" t="s">
        <v>37</v>
      </c>
      <c r="F3" s="1"/>
    </row>
    <row r="4" spans="1:6" x14ac:dyDescent="0.2">
      <c r="A4" s="1" t="s">
        <v>3</v>
      </c>
      <c r="B4" s="1">
        <v>1</v>
      </c>
      <c r="C4" s="1" t="str">
        <f>IFERROR(
  IF(B4=VLOOKUP(A4, PartMaster!A:B, 2, FALSE),
    "✅ Up to Date",
    "⚠️ OUTDATED"
  ),
  "❌ Part Not Found"
)</f>
        <v>✅ Up to Date</v>
      </c>
      <c r="D4" s="1" t="s">
        <v>33</v>
      </c>
      <c r="E4" s="1" t="s">
        <v>10</v>
      </c>
      <c r="F4" s="1"/>
    </row>
    <row r="5" spans="1:6" x14ac:dyDescent="0.2">
      <c r="A5" s="1" t="s">
        <v>6</v>
      </c>
      <c r="B5" s="1">
        <v>1</v>
      </c>
      <c r="C5" s="1" t="str">
        <f>IFERROR(
  IF(B5=VLOOKUP(A5, PartMaster!A:B, 2, FALSE),
    "✅ Up to Date",
    "⚠️ OUTDATED"
  ),
  "❌ Part Not Found"
)</f>
        <v>✅ Up to Date</v>
      </c>
      <c r="D5" s="1" t="s">
        <v>25</v>
      </c>
      <c r="E5" s="1" t="s">
        <v>9</v>
      </c>
      <c r="F5" s="1"/>
    </row>
    <row r="6" spans="1:6" x14ac:dyDescent="0.2">
      <c r="A6" s="1" t="s">
        <v>7</v>
      </c>
      <c r="B6" s="1">
        <v>1</v>
      </c>
      <c r="C6" s="1" t="str">
        <f>IFERROR(
  IF(B6=VLOOKUP(A6, PartMaster!A:B, 2, FALSE),
    "✅ Up to Date",
    "⚠️ OUTDATED"
  ),
  "❌ Part Not Found"
)</f>
        <v>✅ Up to Date</v>
      </c>
      <c r="D6" s="1" t="s">
        <v>53</v>
      </c>
      <c r="E6" s="1" t="s">
        <v>52</v>
      </c>
      <c r="F6" s="1"/>
    </row>
    <row r="7" spans="1:6" x14ac:dyDescent="0.2">
      <c r="A7" s="1" t="s">
        <v>38</v>
      </c>
      <c r="B7" s="1">
        <v>2</v>
      </c>
      <c r="C7" s="1" t="str">
        <f>IFERROR(
  IF(B7=VLOOKUP(A7, PartMaster!A:B, 2, FALSE),
    "✅ Up to Date",
    "⚠️ OUTDATED"
  ),
  "❌ Part Not Found"
)</f>
        <v>✅ Up to Date</v>
      </c>
      <c r="D7" s="1" t="s">
        <v>51</v>
      </c>
      <c r="E7" s="1" t="s">
        <v>39</v>
      </c>
      <c r="F7" s="1"/>
    </row>
    <row r="8" spans="1:6" x14ac:dyDescent="0.2">
      <c r="A8" s="1" t="s">
        <v>5</v>
      </c>
      <c r="B8" s="1">
        <v>1</v>
      </c>
      <c r="C8" s="1" t="str">
        <f>IFERROR(
  IF(B8=VLOOKUP(A8, PartMaster!A:B, 2, FALSE),
    "✅ Up to Date",
    "⚠️ OUTDATED"
  ),
  "❌ Part Not Found"
)</f>
        <v>✅ Up to Date</v>
      </c>
      <c r="D8" s="1" t="s">
        <v>50</v>
      </c>
      <c r="E8" s="1" t="s">
        <v>8</v>
      </c>
      <c r="F8" s="1" t="s">
        <v>29</v>
      </c>
    </row>
    <row r="9" spans="1:6" x14ac:dyDescent="0.2">
      <c r="A9" s="1" t="s">
        <v>11</v>
      </c>
      <c r="B9" s="1">
        <v>1</v>
      </c>
      <c r="C9" s="1" t="str">
        <f>IFERROR(
  IF(B9=VLOOKUP(A9, PartMaster!A:B, 2, FALSE),
    "✅ Up to Date",
    "⚠️ OUTDATED"
  ),
  "❌ Part Not Found"
)</f>
        <v>✅ Up to Date</v>
      </c>
      <c r="D9" s="1" t="s">
        <v>40</v>
      </c>
      <c r="E9" s="1" t="s">
        <v>36</v>
      </c>
      <c r="F9" s="1" t="s">
        <v>27</v>
      </c>
    </row>
    <row r="10" spans="1:6" x14ac:dyDescent="0.2">
      <c r="A10" s="1" t="s">
        <v>21</v>
      </c>
      <c r="B10" s="1">
        <v>1</v>
      </c>
      <c r="C10" s="1" t="str">
        <f>IFERROR(
  IF(B10=VLOOKUP(A10, PartMaster!A:B, 2, FALSE),
    "✅ Up to Date",
    "⚠️ OUTDATED"
  ),
  "❌ Part Not Found"
)</f>
        <v>✅ Up to Date</v>
      </c>
      <c r="D10" s="1"/>
      <c r="E10" s="1" t="s">
        <v>23</v>
      </c>
      <c r="F10" s="1" t="s">
        <v>24</v>
      </c>
    </row>
    <row r="11" spans="1:6" x14ac:dyDescent="0.2">
      <c r="A11" s="1" t="s">
        <v>28</v>
      </c>
      <c r="B11" s="1">
        <v>1</v>
      </c>
      <c r="C11" s="1" t="str">
        <f>IFERROR(
  IF(B11=VLOOKUP(A11, PartMaster!A:B, 2, FALSE),
    "✅ Up to Date",
    "⚠️ OUTDATED"
  ),
  "❌ Part Not Found"
)</f>
        <v>✅ Up to Date</v>
      </c>
      <c r="D11" s="2" t="s">
        <v>54</v>
      </c>
      <c r="E11" s="1" t="s">
        <v>46</v>
      </c>
      <c r="F11" s="1" t="s">
        <v>44</v>
      </c>
    </row>
    <row r="12" spans="1:6" x14ac:dyDescent="0.2">
      <c r="A12" s="1" t="s">
        <v>45</v>
      </c>
      <c r="B12" s="1">
        <v>1</v>
      </c>
      <c r="C12" s="1" t="str">
        <f>IFERROR(
  IF(B12=VLOOKUP(A12, PartMaster!A:B, 2, FALSE),
    "✅ Up to Date",
    "⚠️ OUTDATED"
  ),
  "❌ Part Not Found"
)</f>
        <v>✅ Up to Date</v>
      </c>
      <c r="D12" s="2" t="s">
        <v>54</v>
      </c>
      <c r="E12" s="1" t="s">
        <v>47</v>
      </c>
      <c r="F12" s="1" t="s">
        <v>48</v>
      </c>
    </row>
    <row r="13" spans="1:6" x14ac:dyDescent="0.2">
      <c r="A13" s="1" t="s">
        <v>30</v>
      </c>
      <c r="B13" s="1">
        <v>1</v>
      </c>
      <c r="C13" s="1" t="str">
        <f>IFERROR(
  IF(B13=VLOOKUP(A13, PartMaster!A:B, 2, FALSE),
    "✅ Up to Date",
    "⚠️ OUTDATED"
  ),
  "❌ Part Not Found"
)</f>
        <v>✅ Up to Date</v>
      </c>
      <c r="D13" s="1"/>
      <c r="E13" s="1" t="s">
        <v>31</v>
      </c>
      <c r="F13" s="1" t="s">
        <v>32</v>
      </c>
    </row>
    <row r="14" spans="1:6" x14ac:dyDescent="0.2">
      <c r="A14" s="1" t="s">
        <v>34</v>
      </c>
      <c r="B14" s="1">
        <v>5</v>
      </c>
      <c r="C14" s="1" t="str">
        <f>IFERROR(
  IF(B14=VLOOKUP(A14, PartMaster!A:B, 2, FALSE),
    "✅ Up to Date",
    "⚠️ OUTDATED"
  ),
  "❌ Part Not Found"
)</f>
        <v>✅ Up to Date</v>
      </c>
      <c r="D14" s="1"/>
      <c r="E14" s="1" t="s">
        <v>35</v>
      </c>
      <c r="F14" s="1"/>
    </row>
    <row r="15" spans="1:6" x14ac:dyDescent="0.2">
      <c r="A15" s="1" t="s">
        <v>38</v>
      </c>
      <c r="B15" s="1">
        <v>2</v>
      </c>
      <c r="C15" s="1" t="str">
        <f>IFERROR(
  IF(B15=VLOOKUP(A15, PartMaster!A:B, 2, FALSE),
    "✅ Up to Date",
    "⚠️ OUTDATED"
  ),
  "❌ Part Not Found"
)</f>
        <v>✅ Up to Date</v>
      </c>
      <c r="D15" s="1" t="s">
        <v>49</v>
      </c>
      <c r="E15" s="1" t="s">
        <v>42</v>
      </c>
      <c r="F15" s="1"/>
    </row>
    <row r="16" spans="1:6" x14ac:dyDescent="0.2">
      <c r="A16" s="1" t="s">
        <v>41</v>
      </c>
      <c r="B16" s="1">
        <v>1</v>
      </c>
      <c r="C16" s="1" t="str">
        <f>IFERROR(
  IF(B16=VLOOKUP(A16, PartMaster!A:B, 2, FALSE),
    "✅ Up to Date",
    "⚠️ OUTDATED"
  ),
  "❌ Part Not Found"
)</f>
        <v>✅ Up to Date</v>
      </c>
      <c r="D16" s="1" t="s">
        <v>49</v>
      </c>
      <c r="E16" s="1" t="s">
        <v>43</v>
      </c>
      <c r="F16" s="1"/>
    </row>
    <row r="18" spans="1:2" x14ac:dyDescent="0.2">
      <c r="A18" s="1"/>
      <c r="B18" s="1"/>
    </row>
    <row r="19" spans="1:2" x14ac:dyDescent="0.2">
      <c r="A19" s="1"/>
      <c r="B19" s="1"/>
    </row>
    <row r="20" spans="1:2" x14ac:dyDescent="0.2">
      <c r="A20" s="1"/>
      <c r="B2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3D9E-C7B9-8945-AC27-B83DAE93738C}">
  <dimension ref="A1:E4"/>
  <sheetViews>
    <sheetView workbookViewId="0">
      <selection activeCell="D15" sqref="D15"/>
    </sheetView>
  </sheetViews>
  <sheetFormatPr baseColWidth="10" defaultRowHeight="16" x14ac:dyDescent="0.2"/>
  <cols>
    <col min="2" max="2" width="16.6640625" bestFit="1" customWidth="1"/>
    <col min="3" max="3" width="13.33203125" bestFit="1" customWidth="1"/>
    <col min="4" max="4" width="14.1640625" bestFit="1" customWidth="1"/>
    <col min="5" max="5" width="38.6640625" bestFit="1" customWidth="1"/>
  </cols>
  <sheetData>
    <row r="1" spans="1:5" x14ac:dyDescent="0.2">
      <c r="A1" s="3" t="s">
        <v>16</v>
      </c>
      <c r="B1" s="3" t="s">
        <v>26</v>
      </c>
      <c r="C1" s="3" t="s">
        <v>0</v>
      </c>
      <c r="D1" s="3" t="s">
        <v>17</v>
      </c>
      <c r="E1" s="3" t="s">
        <v>18</v>
      </c>
    </row>
    <row r="2" spans="1:5" x14ac:dyDescent="0.2">
      <c r="A2" s="4"/>
      <c r="B2" s="3"/>
      <c r="C2" s="5"/>
      <c r="D2" s="5"/>
      <c r="E2" s="5"/>
    </row>
    <row r="3" spans="1:5" x14ac:dyDescent="0.2">
      <c r="A3" s="4"/>
      <c r="B3" s="3"/>
      <c r="C3" s="5"/>
      <c r="D3" s="5"/>
      <c r="E3" s="5"/>
    </row>
    <row r="4" spans="1:5" x14ac:dyDescent="0.2">
      <c r="A4" s="4"/>
      <c r="B4" s="3"/>
      <c r="C4" s="5"/>
      <c r="D4" s="5"/>
      <c r="E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PartMaster</vt:lpstr>
      <vt:lpstr>BOM</vt:lpstr>
      <vt:lpstr>Revision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luong hoang</dc:creator>
  <cp:lastModifiedBy>luong hoang</cp:lastModifiedBy>
  <dcterms:created xsi:type="dcterms:W3CDTF">2026-02-06T22:46:23Z</dcterms:created>
  <dcterms:modified xsi:type="dcterms:W3CDTF">2026-02-07T11:13:25Z</dcterms:modified>
</cp:coreProperties>
</file>